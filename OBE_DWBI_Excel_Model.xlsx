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-PO Mapping" sheetId="1" state="visible" r:id="rId1"/>
    <sheet xmlns:r="http://schemas.openxmlformats.org/officeDocument/2006/relationships" name="Assessment Rubric" sheetId="2" state="visible" r:id="rId2"/>
    <sheet xmlns:r="http://schemas.openxmlformats.org/officeDocument/2006/relationships" name="Student Marks" sheetId="3" state="visible" r:id="rId3"/>
    <sheet xmlns:r="http://schemas.openxmlformats.org/officeDocument/2006/relationships" name="Attainment Dashboard" sheetId="4" state="visible" r:id="rId4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9" fontId="0" fillId="0" borderId="1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 Student Attainment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'Attainment Dashboard'!C4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'Attainment Dashboard'!$A$5:$A$8</f>
            </numRef>
          </cat>
          <val>
            <numRef>
              <f>'Attainment Dashboard'!$C$5:$C$8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Course Outcome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Attainment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10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t="inlineStr">
        <is>
          <t>Course: Data Warehousing &amp; Business Intelligence</t>
        </is>
      </c>
    </row>
    <row r="2">
      <c r="A2" t="inlineStr">
        <is>
          <t>CO-PO Mapping Matrix (1 = Low, 2 = Medium, 3 = High)</t>
        </is>
      </c>
    </row>
    <row r="4">
      <c r="A4" s="1" t="inlineStr">
        <is>
          <t>Course Outcome</t>
        </is>
      </c>
      <c r="B4" s="1" t="inlineStr">
        <is>
          <t>PO1</t>
        </is>
      </c>
      <c r="C4" s="1" t="inlineStr">
        <is>
          <t>PO2</t>
        </is>
      </c>
      <c r="D4" s="1" t="inlineStr">
        <is>
          <t>PO3</t>
        </is>
      </c>
      <c r="E4" s="1" t="inlineStr">
        <is>
          <t>PO4</t>
        </is>
      </c>
      <c r="F4" s="1" t="inlineStr">
        <is>
          <t>PO5</t>
        </is>
      </c>
      <c r="G4" s="1" t="inlineStr">
        <is>
          <t>PO6</t>
        </is>
      </c>
      <c r="H4" s="1" t="inlineStr">
        <is>
          <t>PO7</t>
        </is>
      </c>
      <c r="I4" s="1" t="inlineStr">
        <is>
          <t>PO8</t>
        </is>
      </c>
      <c r="J4" s="1" t="inlineStr">
        <is>
          <t>Average</t>
        </is>
      </c>
    </row>
    <row r="5">
      <c r="A5" s="2" t="inlineStr">
        <is>
          <t>CO1: Explain Data Warehousing and BI concepts</t>
        </is>
      </c>
      <c r="B5" s="2" t="n">
        <v>3</v>
      </c>
      <c r="C5" s="2" t="n">
        <v>2</v>
      </c>
      <c r="D5" s="2" t="n">
        <v>1</v>
      </c>
      <c r="E5" s="2" t="n">
        <v>0</v>
      </c>
      <c r="F5" s="2" t="n">
        <v>1</v>
      </c>
      <c r="G5" s="2" t="n">
        <v>0</v>
      </c>
      <c r="H5" s="2" t="n">
        <v>0</v>
      </c>
      <c r="I5" s="2" t="n">
        <v>0</v>
      </c>
      <c r="J5" s="2">
        <f>AVERAGE(B5:I5)</f>
        <v/>
      </c>
    </row>
    <row r="6">
      <c r="A6" s="2" t="inlineStr">
        <is>
          <t>CO2: Apply data analysis techniques using Excel</t>
        </is>
      </c>
      <c r="B6" s="2" t="n">
        <v>2</v>
      </c>
      <c r="C6" s="2" t="n">
        <v>3</v>
      </c>
      <c r="D6" s="2" t="n">
        <v>2</v>
      </c>
      <c r="E6" s="2" t="n">
        <v>2</v>
      </c>
      <c r="F6" s="2" t="n">
        <v>3</v>
      </c>
      <c r="G6" s="2" t="n">
        <v>0</v>
      </c>
      <c r="H6" s="2" t="n">
        <v>0</v>
      </c>
      <c r="I6" s="2" t="n">
        <v>0</v>
      </c>
      <c r="J6" s="2">
        <f>AVERAGE(B6:I6)</f>
        <v/>
      </c>
    </row>
    <row r="7">
      <c r="A7" s="2" t="inlineStr">
        <is>
          <t>CO3: Analyze business data and create reports</t>
        </is>
      </c>
      <c r="B7" s="2" t="n">
        <v>2</v>
      </c>
      <c r="C7" s="2" t="n">
        <v>3</v>
      </c>
      <c r="D7" s="2" t="n">
        <v>3</v>
      </c>
      <c r="E7" s="2" t="n">
        <v>3</v>
      </c>
      <c r="F7" s="2" t="n">
        <v>3</v>
      </c>
      <c r="G7" s="2" t="n">
        <v>1</v>
      </c>
      <c r="H7" s="2" t="n">
        <v>0</v>
      </c>
      <c r="I7" s="2" t="n">
        <v>0</v>
      </c>
      <c r="J7" s="2">
        <f>AVERAGE(B7:I7)</f>
        <v/>
      </c>
    </row>
    <row r="8">
      <c r="A8" s="2" t="inlineStr">
        <is>
          <t>CO4: Use BI tools to support business decisions</t>
        </is>
      </c>
      <c r="B8" s="2" t="n">
        <v>2</v>
      </c>
      <c r="C8" s="2" t="n">
        <v>2</v>
      </c>
      <c r="D8" s="2" t="n">
        <v>3</v>
      </c>
      <c r="E8" s="2" t="n">
        <v>3</v>
      </c>
      <c r="F8" s="2" t="n">
        <v>3</v>
      </c>
      <c r="G8" s="2" t="n">
        <v>2</v>
      </c>
      <c r="H8" s="2" t="n">
        <v>1</v>
      </c>
      <c r="I8" s="2" t="n">
        <v>0</v>
      </c>
      <c r="J8" s="2">
        <f>AVERAGE(B8:I8)</f>
        <v/>
      </c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3" t="inlineStr">
        <is>
          <t>PO Average</t>
        </is>
      </c>
      <c r="B10" s="4">
        <f>AVERAGE(B5:B8)</f>
        <v/>
      </c>
      <c r="C10" s="4">
        <f>AVERAGE(C5:C8)</f>
        <v/>
      </c>
      <c r="D10" s="4">
        <f>AVERAGE(D5:D8)</f>
        <v/>
      </c>
      <c r="E10" s="4">
        <f>AVERAGE(E5:E8)</f>
        <v/>
      </c>
      <c r="F10" s="4">
        <f>AVERAGE(F5:F8)</f>
        <v/>
      </c>
      <c r="G10" s="4">
        <f>AVERAGE(G5:G8)</f>
        <v/>
      </c>
      <c r="H10" s="4">
        <f>AVERAGE(H5:H8)</f>
        <v/>
      </c>
      <c r="I10" s="4">
        <f>AVERAGE(I5:I8)</f>
        <v/>
      </c>
      <c r="J1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8" customWidth="1" min="7" max="7"/>
  </cols>
  <sheetData>
    <row r="1">
      <c r="A1" s="1" t="inlineStr">
        <is>
          <t>Assessment Tool</t>
        </is>
      </c>
      <c r="B1" s="1" t="inlineStr">
        <is>
          <t>Weight %</t>
        </is>
      </c>
      <c r="C1" s="1" t="inlineStr">
        <is>
          <t>CO1</t>
        </is>
      </c>
      <c r="D1" s="1" t="inlineStr">
        <is>
          <t>CO2</t>
        </is>
      </c>
      <c r="E1" s="1" t="inlineStr">
        <is>
          <t>CO3</t>
        </is>
      </c>
      <c r="F1" s="1" t="inlineStr">
        <is>
          <t>CO4</t>
        </is>
      </c>
      <c r="G1" s="1" t="inlineStr">
        <is>
          <t>Total CO Coverage</t>
        </is>
      </c>
    </row>
    <row r="2">
      <c r="A2" s="2" t="inlineStr">
        <is>
          <t>Quiz</t>
        </is>
      </c>
      <c r="B2" s="2" t="n">
        <v>10</v>
      </c>
      <c r="C2" s="2" t="n">
        <v>1</v>
      </c>
      <c r="D2" s="2" t="n">
        <v>0</v>
      </c>
      <c r="E2" s="2" t="n">
        <v>0</v>
      </c>
      <c r="F2" s="2" t="n">
        <v>0</v>
      </c>
      <c r="G2" s="2">
        <f>SUM(C2:F2)</f>
        <v/>
      </c>
    </row>
    <row r="3">
      <c r="A3" s="2" t="inlineStr">
        <is>
          <t>Assignment</t>
        </is>
      </c>
      <c r="B3" s="2" t="n">
        <v>15</v>
      </c>
      <c r="C3" s="2" t="n">
        <v>0</v>
      </c>
      <c r="D3" s="2" t="n">
        <v>1</v>
      </c>
      <c r="E3" s="2" t="n">
        <v>1</v>
      </c>
      <c r="F3" s="2" t="n">
        <v>0</v>
      </c>
      <c r="G3" s="2">
        <f>SUM(C3:F3)</f>
        <v/>
      </c>
    </row>
    <row r="4">
      <c r="A4" s="2" t="inlineStr">
        <is>
          <t>Midterm</t>
        </is>
      </c>
      <c r="B4" s="2" t="n">
        <v>25</v>
      </c>
      <c r="C4" s="2" t="n">
        <v>1</v>
      </c>
      <c r="D4" s="2" t="n">
        <v>1</v>
      </c>
      <c r="E4" s="2" t="n">
        <v>0</v>
      </c>
      <c r="F4" s="2" t="n">
        <v>0</v>
      </c>
      <c r="G4" s="2">
        <f>SUM(C4:F4)</f>
        <v/>
      </c>
    </row>
    <row r="5">
      <c r="A5" s="2" t="inlineStr">
        <is>
          <t>Project</t>
        </is>
      </c>
      <c r="B5" s="2" t="n">
        <v>20</v>
      </c>
      <c r="C5" s="2" t="n">
        <v>0</v>
      </c>
      <c r="D5" s="2" t="n">
        <v>1</v>
      </c>
      <c r="E5" s="2" t="n">
        <v>1</v>
      </c>
      <c r="F5" s="2" t="n">
        <v>1</v>
      </c>
      <c r="G5" s="2">
        <f>SUM(C5:F5)</f>
        <v/>
      </c>
    </row>
    <row r="6">
      <c r="A6" s="2" t="inlineStr">
        <is>
          <t>Final Exam</t>
        </is>
      </c>
      <c r="B6" s="2" t="n">
        <v>30</v>
      </c>
      <c r="C6" s="2" t="n">
        <v>1</v>
      </c>
      <c r="D6" s="2" t="n">
        <v>1</v>
      </c>
      <c r="E6" s="2" t="n">
        <v>1</v>
      </c>
      <c r="F6" s="2" t="n">
        <v>1</v>
      </c>
      <c r="G6" s="2">
        <f>SUM(C6:F6)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3" customWidth="1" min="4" max="4"/>
    <col width="16" customWidth="1" min="5" max="5"/>
    <col width="16" customWidth="1" min="6" max="6"/>
    <col width="13" customWidth="1" min="7" max="7"/>
    <col width="13" customWidth="1" min="8" max="8"/>
    <col width="13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5" t="inlineStr">
        <is>
          <t>Student ID</t>
        </is>
      </c>
      <c r="B1" s="5" t="inlineStr">
        <is>
          <t>Student Name</t>
        </is>
      </c>
      <c r="C1" s="5" t="inlineStr">
        <is>
          <t>Midterm CO1</t>
        </is>
      </c>
      <c r="D1" s="5" t="inlineStr">
        <is>
          <t>Midterm CO2</t>
        </is>
      </c>
      <c r="E1" s="5" t="inlineStr">
        <is>
          <t>Assignment CO2</t>
        </is>
      </c>
      <c r="F1" s="5" t="inlineStr">
        <is>
          <t>Assignment CO3</t>
        </is>
      </c>
      <c r="G1" s="5" t="inlineStr">
        <is>
          <t>Project CO2</t>
        </is>
      </c>
      <c r="H1" s="5" t="inlineStr">
        <is>
          <t>Project CO3</t>
        </is>
      </c>
      <c r="I1" s="5" t="inlineStr">
        <is>
          <t>Project CO4</t>
        </is>
      </c>
      <c r="J1" s="5" t="inlineStr">
        <is>
          <t>Final CO1</t>
        </is>
      </c>
      <c r="K1" s="5" t="inlineStr">
        <is>
          <t>Final CO2</t>
        </is>
      </c>
      <c r="L1" s="5" t="inlineStr">
        <is>
          <t>Final CO3</t>
        </is>
      </c>
      <c r="M1" s="5" t="inlineStr">
        <is>
          <t>Final CO4</t>
        </is>
      </c>
    </row>
    <row r="2">
      <c r="A2" s="6" t="inlineStr">
        <is>
          <t>S001</t>
        </is>
      </c>
      <c r="B2" s="6" t="inlineStr">
        <is>
          <t>Ali</t>
        </is>
      </c>
      <c r="C2" s="6" t="n">
        <v>78</v>
      </c>
      <c r="D2" s="6" t="n">
        <v>70</v>
      </c>
      <c r="E2" s="6" t="n">
        <v>82</v>
      </c>
      <c r="F2" s="6" t="n">
        <v>75</v>
      </c>
      <c r="G2" s="6" t="n">
        <v>80</v>
      </c>
      <c r="H2" s="6" t="n">
        <v>72</v>
      </c>
      <c r="I2" s="6" t="n">
        <v>77</v>
      </c>
      <c r="J2" s="6" t="n">
        <v>74</v>
      </c>
      <c r="K2" s="6" t="n">
        <v>69</v>
      </c>
      <c r="L2" s="6" t="n">
        <v>81</v>
      </c>
      <c r="M2" s="6" t="n">
        <v>76</v>
      </c>
    </row>
    <row r="3">
      <c r="A3" s="6" t="inlineStr">
        <is>
          <t>S002</t>
        </is>
      </c>
      <c r="B3" s="6" t="inlineStr">
        <is>
          <t>Ahmed</t>
        </is>
      </c>
      <c r="C3" s="6" t="n">
        <v>65</v>
      </c>
      <c r="D3" s="6" t="n">
        <v>62</v>
      </c>
      <c r="E3" s="6" t="n">
        <v>70</v>
      </c>
      <c r="F3" s="6" t="n">
        <v>68</v>
      </c>
      <c r="G3" s="6" t="n">
        <v>73</v>
      </c>
      <c r="H3" s="6" t="n">
        <v>67</v>
      </c>
      <c r="I3" s="6" t="n">
        <v>71</v>
      </c>
      <c r="J3" s="6" t="n">
        <v>64</v>
      </c>
      <c r="K3" s="6" t="n">
        <v>66</v>
      </c>
      <c r="L3" s="6" t="n">
        <v>72</v>
      </c>
      <c r="M3" s="6" t="n">
        <v>69</v>
      </c>
    </row>
    <row r="4">
      <c r="A4" s="6" t="inlineStr">
        <is>
          <t>S003</t>
        </is>
      </c>
      <c r="B4" s="6" t="inlineStr">
        <is>
          <t>Sara</t>
        </is>
      </c>
      <c r="C4" s="6" t="n">
        <v>88</v>
      </c>
      <c r="D4" s="6" t="n">
        <v>91</v>
      </c>
      <c r="E4" s="6" t="n">
        <v>90</v>
      </c>
      <c r="F4" s="6" t="n">
        <v>86</v>
      </c>
      <c r="G4" s="6" t="n">
        <v>92</v>
      </c>
      <c r="H4" s="6" t="n">
        <v>89</v>
      </c>
      <c r="I4" s="6" t="n">
        <v>94</v>
      </c>
      <c r="J4" s="6" t="n">
        <v>85</v>
      </c>
      <c r="K4" s="6" t="n">
        <v>90</v>
      </c>
      <c r="L4" s="6" t="n">
        <v>93</v>
      </c>
      <c r="M4" s="6" t="n">
        <v>91</v>
      </c>
    </row>
    <row r="5">
      <c r="A5" s="6" t="inlineStr">
        <is>
          <t>S004</t>
        </is>
      </c>
      <c r="B5" s="6" t="inlineStr">
        <is>
          <t>Hassan</t>
        </is>
      </c>
      <c r="C5" s="6" t="n">
        <v>55</v>
      </c>
      <c r="D5" s="6" t="n">
        <v>60</v>
      </c>
      <c r="E5" s="6" t="n">
        <v>64</v>
      </c>
      <c r="F5" s="6" t="n">
        <v>58</v>
      </c>
      <c r="G5" s="6" t="n">
        <v>61</v>
      </c>
      <c r="H5" s="6" t="n">
        <v>59</v>
      </c>
      <c r="I5" s="6" t="n">
        <v>65</v>
      </c>
      <c r="J5" s="6" t="n">
        <v>57</v>
      </c>
      <c r="K5" s="6" t="n">
        <v>63</v>
      </c>
      <c r="L5" s="6" t="n">
        <v>60</v>
      </c>
      <c r="M5" s="6" t="n">
        <v>62</v>
      </c>
    </row>
    <row r="6">
      <c r="A6" s="6" t="inlineStr">
        <is>
          <t>S005</t>
        </is>
      </c>
      <c r="B6" s="6" t="inlineStr">
        <is>
          <t>Ayesha</t>
        </is>
      </c>
      <c r="C6" s="6" t="n">
        <v>72</v>
      </c>
      <c r="D6" s="6" t="n">
        <v>78</v>
      </c>
      <c r="E6" s="6" t="n">
        <v>75</v>
      </c>
      <c r="F6" s="6" t="n">
        <v>80</v>
      </c>
      <c r="G6" s="6" t="n">
        <v>79</v>
      </c>
      <c r="H6" s="6" t="n">
        <v>82</v>
      </c>
      <c r="I6" s="6" t="n">
        <v>85</v>
      </c>
      <c r="J6" s="6" t="n">
        <v>76</v>
      </c>
      <c r="K6" s="6" t="n">
        <v>81</v>
      </c>
      <c r="L6" s="6" t="n">
        <v>84</v>
      </c>
      <c r="M6" s="6" t="n">
        <v>83</v>
      </c>
    </row>
    <row r="7">
      <c r="A7" s="6" t="inlineStr">
        <is>
          <t>S006</t>
        </is>
      </c>
      <c r="B7" s="6" t="inlineStr">
        <is>
          <t>Usman</t>
        </is>
      </c>
      <c r="C7" s="6" t="n">
        <v>61</v>
      </c>
      <c r="D7" s="6" t="n">
        <v>67</v>
      </c>
      <c r="E7" s="6" t="n">
        <v>69</v>
      </c>
      <c r="F7" s="6" t="n">
        <v>65</v>
      </c>
      <c r="G7" s="6" t="n">
        <v>70</v>
      </c>
      <c r="H7" s="6" t="n">
        <v>63</v>
      </c>
      <c r="I7" s="6" t="n">
        <v>68</v>
      </c>
      <c r="J7" s="6" t="n">
        <v>62</v>
      </c>
      <c r="K7" s="6" t="n">
        <v>64</v>
      </c>
      <c r="L7" s="6" t="n">
        <v>71</v>
      </c>
      <c r="M7" s="6" t="n">
        <v>66</v>
      </c>
    </row>
    <row r="8">
      <c r="A8" s="6" t="inlineStr">
        <is>
          <t>S007</t>
        </is>
      </c>
      <c r="B8" s="6" t="inlineStr">
        <is>
          <t>Fatima</t>
        </is>
      </c>
      <c r="C8" s="6" t="n">
        <v>93</v>
      </c>
      <c r="D8" s="6" t="n">
        <v>89</v>
      </c>
      <c r="E8" s="6" t="n">
        <v>95</v>
      </c>
      <c r="F8" s="6" t="n">
        <v>92</v>
      </c>
      <c r="G8" s="6" t="n">
        <v>96</v>
      </c>
      <c r="H8" s="6" t="n">
        <v>94</v>
      </c>
      <c r="I8" s="6" t="n">
        <v>97</v>
      </c>
      <c r="J8" s="6" t="n">
        <v>91</v>
      </c>
      <c r="K8" s="6" t="n">
        <v>90</v>
      </c>
      <c r="L8" s="6" t="n">
        <v>95</v>
      </c>
      <c r="M8" s="6" t="n">
        <v>94</v>
      </c>
    </row>
    <row r="9">
      <c r="A9" s="6" t="inlineStr">
        <is>
          <t>S008</t>
        </is>
      </c>
      <c r="B9" s="6" t="inlineStr">
        <is>
          <t>Bilal</t>
        </is>
      </c>
      <c r="C9" s="6" t="n">
        <v>68</v>
      </c>
      <c r="D9" s="6" t="n">
        <v>73</v>
      </c>
      <c r="E9" s="6" t="n">
        <v>71</v>
      </c>
      <c r="F9" s="6" t="n">
        <v>69</v>
      </c>
      <c r="G9" s="6" t="n">
        <v>75</v>
      </c>
      <c r="H9" s="6" t="n">
        <v>70</v>
      </c>
      <c r="I9" s="6" t="n">
        <v>72</v>
      </c>
      <c r="J9" s="6" t="n">
        <v>67</v>
      </c>
      <c r="K9" s="6" t="n">
        <v>70</v>
      </c>
      <c r="L9" s="6" t="n">
        <v>74</v>
      </c>
      <c r="M9" s="6" t="n">
        <v>71</v>
      </c>
    </row>
    <row r="10">
      <c r="A10" s="6" t="inlineStr">
        <is>
          <t>S009</t>
        </is>
      </c>
      <c r="B10" s="6" t="inlineStr">
        <is>
          <t>Zainab</t>
        </is>
      </c>
      <c r="C10" s="6" t="n">
        <v>80</v>
      </c>
      <c r="D10" s="6" t="n">
        <v>84</v>
      </c>
      <c r="E10" s="6" t="n">
        <v>83</v>
      </c>
      <c r="F10" s="6" t="n">
        <v>81</v>
      </c>
      <c r="G10" s="6" t="n">
        <v>85</v>
      </c>
      <c r="H10" s="6" t="n">
        <v>87</v>
      </c>
      <c r="I10" s="6" t="n">
        <v>89</v>
      </c>
      <c r="J10" s="6" t="n">
        <v>79</v>
      </c>
      <c r="K10" s="6" t="n">
        <v>82</v>
      </c>
      <c r="L10" s="6" t="n">
        <v>86</v>
      </c>
      <c r="M10" s="6" t="n">
        <v>88</v>
      </c>
    </row>
    <row r="11">
      <c r="A11" s="6" t="inlineStr">
        <is>
          <t>S010</t>
        </is>
      </c>
      <c r="B11" s="6" t="inlineStr">
        <is>
          <t>Hamza</t>
        </is>
      </c>
      <c r="C11" s="6" t="n">
        <v>58</v>
      </c>
      <c r="D11" s="6" t="n">
        <v>55</v>
      </c>
      <c r="E11" s="6" t="n">
        <v>63</v>
      </c>
      <c r="F11" s="6" t="n">
        <v>61</v>
      </c>
      <c r="G11" s="6" t="n">
        <v>66</v>
      </c>
      <c r="H11" s="6" t="n">
        <v>60</v>
      </c>
      <c r="I11" s="6" t="n">
        <v>64</v>
      </c>
      <c r="J11" s="6" t="n">
        <v>59</v>
      </c>
      <c r="K11" s="6" t="n">
        <v>57</v>
      </c>
      <c r="L11" s="6" t="n">
        <v>65</v>
      </c>
      <c r="M11" s="6" t="n">
        <v>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2" customWidth="1" min="4" max="4"/>
    <col width="18" customWidth="1" min="5" max="5"/>
  </cols>
  <sheetData>
    <row r="1">
      <c r="A1" t="inlineStr">
        <is>
          <t>DWBI OBE Attainment Dashboard</t>
        </is>
      </c>
    </row>
    <row r="2">
      <c r="A2" t="inlineStr">
        <is>
          <t>Benchmark: 65% score; Target: 60% of students should attain each CO</t>
        </is>
      </c>
    </row>
    <row r="4">
      <c r="A4" s="5" t="inlineStr">
        <is>
          <t>CO</t>
        </is>
      </c>
      <c r="B4" s="5" t="inlineStr">
        <is>
          <t>Average Student Score %</t>
        </is>
      </c>
      <c r="C4" s="5" t="inlineStr">
        <is>
          <t>Students &gt;= 65%</t>
        </is>
      </c>
      <c r="D4" s="5" t="inlineStr">
        <is>
          <t>Target %</t>
        </is>
      </c>
      <c r="E4" s="5" t="inlineStr">
        <is>
          <t>Attainment Status</t>
        </is>
      </c>
    </row>
    <row r="5">
      <c r="A5" s="6" t="inlineStr">
        <is>
          <t>CO1</t>
        </is>
      </c>
      <c r="B5" s="7">
        <f>AVERAGE('Student Marks'!C2:C11,'Student Marks'!J2:J11)</f>
        <v/>
      </c>
      <c r="C5" s="8">
        <f>SUMPRODUCT(--(('Student Marks'!C2:C11+'Student Marks'!J2:J11)/(2)&gt;=65))/COUNTA('Student Marks'!A2:A11)</f>
        <v/>
      </c>
      <c r="D5" s="8" t="n">
        <v>0.6</v>
      </c>
      <c r="E5" s="6">
        <f>IF(C5&gt;=D5,"Achieved","Not Achieved")</f>
        <v/>
      </c>
    </row>
    <row r="6">
      <c r="A6" s="6" t="inlineStr">
        <is>
          <t>CO2</t>
        </is>
      </c>
      <c r="B6" s="7">
        <f>AVERAGE('Student Marks'!D2:D11,'Student Marks'!E2:E11,'Student Marks'!G2:G11,'Student Marks'!K2:K11)</f>
        <v/>
      </c>
      <c r="C6" s="8">
        <f>SUMPRODUCT(--(('Student Marks'!D2:D11+'Student Marks'!E2:E11+'Student Marks'!G2:G11+'Student Marks'!K2:K11)/(4)&gt;=65))/COUNTA('Student Marks'!A2:A11)</f>
        <v/>
      </c>
      <c r="D6" s="8" t="n">
        <v>0.6</v>
      </c>
      <c r="E6" s="6">
        <f>IF(C6&gt;=D6,"Achieved","Not Achieved")</f>
        <v/>
      </c>
    </row>
    <row r="7">
      <c r="A7" s="6" t="inlineStr">
        <is>
          <t>CO3</t>
        </is>
      </c>
      <c r="B7" s="7">
        <f>AVERAGE('Student Marks'!F2:F11,'Student Marks'!H2:H11,'Student Marks'!L2:L11)</f>
        <v/>
      </c>
      <c r="C7" s="8">
        <f>SUMPRODUCT(--(('Student Marks'!F2:F11+'Student Marks'!H2:H11+'Student Marks'!L2:L11)/(3)&gt;=65))/COUNTA('Student Marks'!A2:A11)</f>
        <v/>
      </c>
      <c r="D7" s="8" t="n">
        <v>0.6</v>
      </c>
      <c r="E7" s="6">
        <f>IF(C7&gt;=D7,"Achieved","Not Achieved")</f>
        <v/>
      </c>
    </row>
    <row r="8">
      <c r="A8" s="6" t="inlineStr">
        <is>
          <t>CO4</t>
        </is>
      </c>
      <c r="B8" s="7">
        <f>AVERAGE('Student Marks'!I2:I11,'Student Marks'!M2:M11)</f>
        <v/>
      </c>
      <c r="C8" s="8">
        <f>SUMPRODUCT(--(('Student Marks'!I2:I11+'Student Marks'!M2:M11)/(2)&gt;=65))/COUNTA('Student Marks'!A2:A11)</f>
        <v/>
      </c>
      <c r="D8" s="8" t="n">
        <v>0.6</v>
      </c>
      <c r="E8" s="6">
        <f>IF(C8&gt;=D8,"Achieved","Not Achieved")</f>
        <v/>
      </c>
    </row>
    <row r="10">
      <c r="A10" t="inlineStr">
        <is>
          <t>PO Attainment (weighted from CO attainment × mapping strength)</t>
        </is>
      </c>
    </row>
    <row r="11">
      <c r="A11" t="inlineStr">
        <is>
          <t>PO1</t>
        </is>
      </c>
      <c r="B11" t="inlineStr">
        <is>
          <t>PO2</t>
        </is>
      </c>
      <c r="C11" t="inlineStr">
        <is>
          <t>PO3</t>
        </is>
      </c>
      <c r="D11" t="inlineStr">
        <is>
          <t>PO4</t>
        </is>
      </c>
      <c r="E11" t="inlineStr">
        <is>
          <t>PO5</t>
        </is>
      </c>
      <c r="F11" t="inlineStr">
        <is>
          <t>PO6</t>
        </is>
      </c>
      <c r="G11" t="inlineStr">
        <is>
          <t>PO7</t>
        </is>
      </c>
      <c r="H11" t="inlineStr">
        <is>
          <t>PO8</t>
        </is>
      </c>
    </row>
    <row r="12">
      <c r="A12" s="5" t="inlineStr">
        <is>
          <t>PO</t>
        </is>
      </c>
      <c r="B12" s="5" t="inlineStr">
        <is>
          <t>Weighted Attainment</t>
        </is>
      </c>
      <c r="C12" s="5" t="inlineStr">
        <is>
          <t>Status</t>
        </is>
      </c>
      <c r="D12" s="9" t="n"/>
      <c r="E12" s="9" t="n"/>
      <c r="F12" s="9" t="n"/>
      <c r="G12" s="9" t="n"/>
      <c r="H12" s="9" t="n"/>
    </row>
    <row r="13">
      <c r="A13" s="6" t="inlineStr">
        <is>
          <t>PO1</t>
        </is>
      </c>
      <c r="B13" s="8">
        <f>SUM('CO-PO Mapping'!B5*$C$5,'CO-PO Mapping'!B6*$C$6,'CO-PO Mapping'!B7*$C$7,'CO-PO Mapping'!B8*$C$8)/SUM('CO-PO Mapping'!B5:B8)</f>
        <v/>
      </c>
      <c r="C13" s="6">
        <f>IF(B13&gt;=0.6,"Achieved","Not Achieved")</f>
        <v/>
      </c>
    </row>
    <row r="14">
      <c r="A14" s="6" t="inlineStr">
        <is>
          <t>PO2</t>
        </is>
      </c>
      <c r="B14" s="8">
        <f>SUM('CO-PO Mapping'!C5*$C$5,'CO-PO Mapping'!C6*$C$6,'CO-PO Mapping'!C7*$C$7,'CO-PO Mapping'!C8*$C$8)/SUM('CO-PO Mapping'!C5:C8)</f>
        <v/>
      </c>
      <c r="C14" s="6">
        <f>IF(B14&gt;=0.6,"Achieved","Not Achieved")</f>
        <v/>
      </c>
    </row>
    <row r="15">
      <c r="A15" s="6" t="inlineStr">
        <is>
          <t>PO3</t>
        </is>
      </c>
      <c r="B15" s="8">
        <f>SUM('CO-PO Mapping'!D5*$C$5,'CO-PO Mapping'!D6*$C$6,'CO-PO Mapping'!D7*$C$7,'CO-PO Mapping'!D8*$C$8)/SUM('CO-PO Mapping'!D5:D8)</f>
        <v/>
      </c>
      <c r="C15" s="6">
        <f>IF(B15&gt;=0.6,"Achieved","Not Achieved")</f>
        <v/>
      </c>
    </row>
    <row r="16">
      <c r="A16" s="6" t="inlineStr">
        <is>
          <t>PO4</t>
        </is>
      </c>
      <c r="B16" s="8">
        <f>SUM('CO-PO Mapping'!E5*$C$5,'CO-PO Mapping'!E6*$C$6,'CO-PO Mapping'!E7*$C$7,'CO-PO Mapping'!E8*$C$8)/SUM('CO-PO Mapping'!E5:E8)</f>
        <v/>
      </c>
      <c r="C16" s="6">
        <f>IF(B16&gt;=0.6,"Achieved","Not Achieved")</f>
        <v/>
      </c>
    </row>
    <row r="17">
      <c r="A17" s="6" t="inlineStr">
        <is>
          <t>PO5</t>
        </is>
      </c>
      <c r="B17" s="8">
        <f>SUM('CO-PO Mapping'!F5*$C$5,'CO-PO Mapping'!F6*$C$6,'CO-PO Mapping'!F7*$C$7,'CO-PO Mapping'!F8*$C$8)/SUM('CO-PO Mapping'!F5:F8)</f>
        <v/>
      </c>
      <c r="C17" s="6">
        <f>IF(B17&gt;=0.6,"Achieved","Not Achieved")</f>
        <v/>
      </c>
    </row>
    <row r="18">
      <c r="A18" s="6" t="inlineStr">
        <is>
          <t>PO6</t>
        </is>
      </c>
      <c r="B18" s="8">
        <f>SUM('CO-PO Mapping'!G5*$C$5,'CO-PO Mapping'!G6*$C$6,'CO-PO Mapping'!G7*$C$7,'CO-PO Mapping'!G8*$C$8)/SUM('CO-PO Mapping'!G5:G8)</f>
        <v/>
      </c>
      <c r="C18" s="6">
        <f>IF(B18&gt;=0.6,"Achieved","Not Achieved")</f>
        <v/>
      </c>
    </row>
    <row r="19">
      <c r="A19" s="6" t="inlineStr">
        <is>
          <t>PO7</t>
        </is>
      </c>
      <c r="B19" s="8">
        <f>SUM('CO-PO Mapping'!H5*$C$5,'CO-PO Mapping'!H6*$C$6,'CO-PO Mapping'!H7*$C$7,'CO-PO Mapping'!H8*$C$8)/SUM('CO-PO Mapping'!H5:H8)</f>
        <v/>
      </c>
      <c r="C19" s="6">
        <f>IF(B19&gt;=0.6,"Achieved","Not Achieved")</f>
        <v/>
      </c>
    </row>
    <row r="20">
      <c r="A20" s="6" t="inlineStr">
        <is>
          <t>PO8</t>
        </is>
      </c>
      <c r="B20" s="8">
        <f>SUM('CO-PO Mapping'!I5*$C$5,'CO-PO Mapping'!I6*$C$6,'CO-PO Mapping'!I7*$C$7,'CO-PO Mapping'!I8*$C$8)/SUM('CO-PO Mapping'!I5:I8)</f>
        <v/>
      </c>
      <c r="C20" s="6">
        <f>IF(B20&gt;=0.6,"Achieved","Not Achieved")</f>
        <v/>
      </c>
    </row>
  </sheetData>
  <conditionalFormatting sqref="C5:C8">
    <cfRule type="cellIs" priority="1" operator="lessThan" dxfId="0">
      <formula>0.6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2026-09-13T15:04:56Z</dcterms:created>
  <dcterms:modified xmlns:dcterms="http://purl.org/dc/terms/" xmlns:xsi="http://www.w3.org/2001/XMLSchema-instance" xsi:type="dcterms:W3CDTF">2026-09-13T15:04:56Z</dcterms:modified>
</cp:coreProperties>
</file>