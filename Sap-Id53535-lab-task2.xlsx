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<sst xmlns="http://schemas.openxmlformats.org/spreadsheetml/2006/main" count="19" uniqueCount="19">
  <si>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GPA Calculator</t>
  </si>
  <si>
    <t>sr.</t>
  </si>
  <si>
    <t>course</t>
  </si>
  <si>
    <t>credit hr</t>
  </si>
  <si>
    <t>marks(100)</t>
  </si>
  <si>
    <t>course points</t>
  </si>
  <si>
    <t>points</t>
  </si>
  <si>
    <t>IS</t>
  </si>
  <si>
    <t>OOP</t>
  </si>
  <si>
    <t>DB</t>
  </si>
  <si>
    <t>PS</t>
  </si>
  <si>
    <t>PF</t>
  </si>
  <si>
    <t>Semester credit hour</t>
  </si>
  <si>
    <t>Total marks</t>
  </si>
  <si>
    <t>Obtain marks</t>
  </si>
  <si>
    <t>Total point</t>
  </si>
  <si>
    <t>SGPA</t>
  </si>
  <si>
    <t>CGPA</t>
  </si>
  <si>
    <t>Total Credit Hours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</si>
</sst>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"/>
      <color theme="1"/>
      <name val="Arial Black"/>
      <charset val="134"/>
    </font>
    <font>
      <sz val="11"/>
      <color theme="4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:J21"/>
  <sheetViews>
    <sheetView tabSelected="1" workbookViewId="0">
      <selection activeCell="G16" sqref="G16"/>
    </sheetView>
  </sheetViews>
  <sheetFormatPr defaultColWidth="8.72727272727273" defaultRowHeight="14.5"/>
  <cols>
    <col min="6" max="6" width="18.6363636363636" customWidth="1"/>
    <col min="7" max="7" width="18" customWidth="1"/>
    <col min="8" max="8" width="14" customWidth="1"/>
    <col min="9" max="9" width="11.8181818181818" customWidth="1"/>
  </cols>
  <sheetData>
    <row r="2" ht="33.5" spans="5:10">
      <c r="E2" s="1" t="s">
        <v>0</v>
      </c>
      <c r="F2" s="2"/>
      <c r="G2" s="2"/>
      <c r="H2" s="2"/>
      <c r="I2" s="2"/>
      <c r="J2" s="2"/>
    </row>
    <row r="3" spans="5:10">
      <c r="E3" s="3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</row>
    <row r="4" spans="5:10">
      <c r="E4" s="5">
        <v>1</v>
      </c>
      <c r="F4" s="3" t="s">
        <v>7</v>
      </c>
      <c r="G4" s="5">
        <v>4</v>
      </c>
      <c r="H4" s="5">
        <v>78</v>
      </c>
      <c r="I4" s="5">
        <f>IF(H4&gt;=80,4,IF(H4&gt;=78,3.7,IF(H4&gt;=75,3.5,IF(H4&gt;=70,3,IF(H4&gt;=68,2.7,IF(H4&gt;=65,2.5,IF(H4&gt;=60,2,IF(H4&gt;=58,1.7,IF(H4&gt;=55,1.5,IF(H4&gt;=50,1,0))))))))))</f>
        <v>3.7</v>
      </c>
      <c r="J4" s="5">
        <f>G4*I4</f>
        <v>14.8</v>
      </c>
    </row>
    <row r="5" spans="5:10">
      <c r="E5" s="5">
        <v>2</v>
      </c>
      <c r="F5" s="3" t="s">
        <v>8</v>
      </c>
      <c r="G5" s="5">
        <v>3</v>
      </c>
      <c r="H5" s="5">
        <v>56</v>
      </c>
      <c r="I5" s="5">
        <f>IF(H5&gt;=80,4,IF(H5&gt;=78,3.7,IF(H5&gt;=75,3.5,IF(H5&gt;=70,3,IF(H5&gt;=68,2.7,IF(H5&gt;=65,2.5,IF(H5&gt;=60,2,IF(H5&gt;=58,1.7,IF(H5&gt;=55,1.5,IF(H5&gt;=50,1,0))))))))))</f>
        <v>1.5</v>
      </c>
      <c r="J5" s="5">
        <f>G5*I5</f>
        <v>4.5</v>
      </c>
    </row>
    <row r="6" spans="5:10">
      <c r="E6" s="5">
        <v>3</v>
      </c>
      <c r="F6" s="3" t="s">
        <v>9</v>
      </c>
      <c r="G6" s="5">
        <v>4</v>
      </c>
      <c r="H6" s="5">
        <v>89</v>
      </c>
      <c r="I6" s="5">
        <f>IF(H6&gt;=80,4,IF(H6&gt;=78,3.7,IF(H6&gt;=75,3.5,IF(H6&gt;=70,3,IF(H6&gt;=68,2.7,IF(H6&gt;=65,2.5,IF(H6&gt;=60,2,IF(H6&gt;=58,1.7,IF(H6&gt;=55,1.5,IF(H6&gt;=50,1,0))))))))))</f>
        <v>4</v>
      </c>
      <c r="J6" s="5">
        <f>G6*I6</f>
        <v>16</v>
      </c>
    </row>
    <row r="7" spans="5:10">
      <c r="E7" s="5">
        <v>4</v>
      </c>
      <c r="F7" s="3" t="s">
        <v>10</v>
      </c>
      <c r="G7" s="5">
        <v>3</v>
      </c>
      <c r="H7" s="5">
        <v>89</v>
      </c>
      <c r="I7" s="5">
        <f>IF(H7&gt;=80,4,IF(H7&gt;=78,3.7,IF(H7&gt;=75,3.5,IF(H7&gt;=70,3,IF(H7&gt;=68,2.7,IF(H7&gt;=65,2.5,IF(H7&gt;=60,2,IF(H7&gt;=58,1.7,IF(H7&gt;=55,1.5,IF(H7&gt;=50,1,0))))))))))</f>
        <v>4</v>
      </c>
      <c r="J7" s="5">
        <f>G7*I7</f>
        <v>12</v>
      </c>
    </row>
    <row r="8" spans="5:10">
      <c r="E8" s="5">
        <v>5</v>
      </c>
      <c r="F8" s="3" t="s">
        <v>11</v>
      </c>
      <c r="G8" s="5">
        <v>4</v>
      </c>
      <c r="H8" s="5">
        <v>75</v>
      </c>
      <c r="I8" s="5">
        <f>IF(H8&gt;=80,4,IF(H8&gt;=78,3.7,IF(H8&gt;=75,3.5,IF(H8&gt;=70,3,IF(H8&gt;=68,2.7,IF(H8&gt;=65,2.5,IF(H8&gt;=60,2,IF(H8&gt;=58,1.7,IF(H8&gt;=55,1.5,IF(H8&gt;=50,1,0))))))))))</f>
        <v>3.5</v>
      </c>
      <c r="J8" s="5">
        <f>G8*I8</f>
        <v>14</v>
      </c>
    </row>
    <row r="9" spans="5:10">
      <c r="E9" s="6"/>
      <c r="F9" s="7"/>
      <c r="G9" s="7"/>
      <c r="H9" s="7"/>
      <c r="I9" s="7"/>
      <c r="J9" s="8"/>
    </row>
    <row r="10" spans="5:10">
      <c r="E10" s="5">
        <v>6</v>
      </c>
      <c r="F10" s="5"/>
      <c r="G10" s="9" t="s">
        <v>12</v>
      </c>
      <c r="H10" s="10"/>
      <c r="I10" s="5">
        <f>SUM(G4:G8)</f>
        <v>18</v>
      </c>
      <c r="J10" s="5"/>
    </row>
    <row r="11" spans="5:10">
      <c r="E11" s="5">
        <v>7</v>
      </c>
      <c r="F11" s="5"/>
      <c r="G11" s="4" t="s">
        <v>13</v>
      </c>
      <c r="H11" s="5"/>
      <c r="I11" s="5">
        <v>500</v>
      </c>
      <c r="J11" s="5"/>
    </row>
    <row r="12" spans="5:10">
      <c r="E12" s="5">
        <v>8</v>
      </c>
      <c r="F12" s="5"/>
      <c r="G12" s="4" t="s">
        <v>14</v>
      </c>
      <c r="H12" s="3"/>
      <c r="I12" s="5">
        <f>SUM(H4:H8)</f>
        <v>387</v>
      </c>
      <c r="J12" s="5"/>
    </row>
    <row r="13" spans="5:10">
      <c r="E13" s="5">
        <v>9</v>
      </c>
      <c r="F13" s="5"/>
      <c r="G13" s="5"/>
      <c r="H13" s="11" t="s">
        <v>15</v>
      </c>
      <c r="I13" s="5">
        <f>SUM(J4:J8)</f>
        <v>61.3</v>
      </c>
      <c r="J13" s="5"/>
    </row>
    <row r="14" spans="5:10">
      <c r="E14" s="5">
        <v>10</v>
      </c>
      <c r="F14" s="5"/>
      <c r="G14" s="5"/>
      <c r="H14" s="12" t="s">
        <v>16</v>
      </c>
      <c r="I14" s="5">
        <f>I13/I10</f>
        <v>3.40555555555556</v>
      </c>
      <c r="J14" s="5"/>
    </row>
    <row r="15" spans="5:10">
      <c r="E15" s="5">
        <v>11</v>
      </c>
      <c r="F15" s="5"/>
      <c r="G15" s="5"/>
      <c r="H15" s="3" t="s">
        <v>17</v>
      </c>
      <c r="I15" s="5">
        <f>I14*I10/H16</f>
        <v>2.91904761904762</v>
      </c>
      <c r="J15" s="5"/>
    </row>
    <row r="16" spans="5:10">
      <c r="E16" s="5">
        <v>12</v>
      </c>
      <c r="F16" s="5"/>
      <c r="G16" s="4" t="s">
        <v>18</v>
      </c>
      <c r="H16" s="3">
        <v>21</v>
      </c>
      <c r="I16" s="5"/>
      <c r="J16" s="5"/>
    </row>
    <row r="17" spans="5:10">
      <c r="E17" s="5">
        <v>13</v>
      </c>
      <c r="F17" s="5"/>
      <c r="G17" s="5"/>
      <c r="H17" s="5"/>
      <c r="I17" s="5"/>
      <c r="J17" s="5"/>
    </row>
    <row r="18" spans="5:10">
      <c r="E18" s="5"/>
      <c r="F18" s="5"/>
      <c r="G18" s="5"/>
      <c r="H18" s="5"/>
      <c r="I18" s="5"/>
      <c r="J18" s="5"/>
    </row>
    <row r="19" spans="5:10">
      <c r="E19" s="5"/>
      <c r="F19" s="5"/>
      <c r="G19" s="5"/>
      <c r="H19" s="5"/>
      <c r="I19" s="5"/>
      <c r="J19" s="5"/>
    </row>
    <row r="20" spans="5:10">
      <c r="E20" s="5"/>
      <c r="F20" s="5"/>
      <c r="G20" s="5"/>
      <c r="H20" s="5"/>
      <c r="I20" s="5"/>
      <c r="J20" s="5"/>
    </row>
    <row r="21" spans="5:10">
      <c r="E21" s="5"/>
      <c r="F21" s="5"/>
      <c r="G21" s="5"/>
      <c r="H21" s="5"/>
      <c r="I21" s="5"/>
      <c r="J21" s="5"/>
    </row>
  </sheetData>
  <mergeCells count="3">
    <mergeCell ref="E2:J2"/>
    <mergeCell ref="E9:J9"/>
    <mergeCell ref="G10:H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Afaq Ahmad</dc:creator>
  <cp:lastModifiedBy>Afaq Ahmad</cp:lastModifiedBy>
  <dcterms:created xsi:type="dcterms:W3CDTF">2026-09-07T04:43:30Z</dcterms:created>
  <dcterms:modified xsi:type="dcterms:W3CDTF">2026-09-07T05:23:26Z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5497F2087A9949EA8FC87C9AA63132F9_13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